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0A0E1A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6" customWidth="1" min="5" max="5"/>
    <col width="12" customWidth="1" min="6" max="6"/>
    <col width="14" customWidth="1" min="7" max="7"/>
    <col width="14" customWidth="1" min="8" max="8"/>
    <col width="18" customWidth="1" min="9" max="9"/>
    <col width="20" customWidth="1" min="10" max="10"/>
    <col width="14" customWidth="1" min="11" max="11"/>
    <col width="12" customWidth="1" min="12" max="12"/>
    <col width="14" customWidth="1" min="13" max="13"/>
    <col width="40" customWidth="1" min="14" max="14"/>
  </cols>
  <sheetData>
    <row r="1" ht="30" customHeight="1">
      <c r="A1" s="1" t="inlineStr">
        <is>
          <t>direccion</t>
        </is>
      </c>
      <c r="B1" s="1" t="inlineStr">
        <is>
          <t>primera_actividad</t>
        </is>
      </c>
      <c r="C1" s="1" t="inlineStr">
        <is>
          <t>ultima_actividad</t>
        </is>
      </c>
      <c r="D1" s="1" t="inlineStr">
        <is>
          <t>dias_activo</t>
        </is>
      </c>
      <c r="E1" s="1" t="inlineStr">
        <is>
          <t>num_transacciones</t>
        </is>
      </c>
      <c r="F1" s="1" t="inlineStr">
        <is>
          <t>txns_por_mes</t>
        </is>
      </c>
      <c r="G1" s="1" t="inlineStr">
        <is>
          <t>saldo_nativo</t>
        </is>
      </c>
      <c r="H1" s="1" t="inlineStr">
        <is>
          <t>precio_usd</t>
        </is>
      </c>
      <c r="I1" s="1" t="inlineStr">
        <is>
          <t>valor_usd_estimado</t>
        </is>
      </c>
      <c r="J1" s="1" t="inlineStr">
        <is>
          <t>contratos_interactuados</t>
        </is>
      </c>
      <c r="K1" s="1" t="inlineStr">
        <is>
          <t>envios_a_cex</t>
        </is>
      </c>
      <c r="L1" s="1" t="inlineStr">
        <is>
          <t>riesgo_cex</t>
        </is>
      </c>
      <c r="M1" s="1" t="inlineStr">
        <is>
          <t>token_rug_pull</t>
        </is>
      </c>
      <c r="N1" s="1" t="inlineStr">
        <is>
          <t>notas</t>
        </is>
      </c>
    </row>
    <row r="2">
      <c r="B2" s="2" t="n"/>
      <c r="C2" s="2" t="n"/>
      <c r="D2">
        <f>IF(AND(B2&lt;&gt;"",C2&lt;&gt;""),C2-B2,"")</f>
        <v/>
      </c>
      <c r="F2" s="3">
        <f>IF(D2&gt;0,E2/D2*30,"")</f>
        <v/>
      </c>
      <c r="I2" s="4">
        <f>IF(AND(G2&lt;&gt;"",H2&lt;&gt;""),G2*H2,"")</f>
        <v/>
      </c>
      <c r="L2" s="5">
        <f>IF(E2&gt;0,K2/E2,"")</f>
        <v/>
      </c>
    </row>
    <row r="3">
      <c r="B3" s="2" t="n"/>
      <c r="C3" s="2" t="n"/>
      <c r="D3">
        <f>IF(AND(B3&lt;&gt;"",C3&lt;&gt;""),C3-B3,"")</f>
        <v/>
      </c>
      <c r="F3" s="3">
        <f>IF(D3&gt;0,E3/D3*30,"")</f>
        <v/>
      </c>
      <c r="I3" s="4">
        <f>IF(AND(G3&lt;&gt;"",H3&lt;&gt;""),G3*H3,"")</f>
        <v/>
      </c>
      <c r="L3" s="5">
        <f>IF(E3&gt;0,K3/E3,"")</f>
        <v/>
      </c>
    </row>
    <row r="4">
      <c r="B4" s="2" t="n"/>
      <c r="C4" s="2" t="n"/>
      <c r="D4">
        <f>IF(AND(B4&lt;&gt;"",C4&lt;&gt;""),C4-B4,"")</f>
        <v/>
      </c>
      <c r="F4" s="3">
        <f>IF(D4&gt;0,E4/D4*30,"")</f>
        <v/>
      </c>
      <c r="I4" s="4">
        <f>IF(AND(G4&lt;&gt;"",H4&lt;&gt;""),G4*H4,"")</f>
        <v/>
      </c>
      <c r="L4" s="5">
        <f>IF(E4&gt;0,K4/E4,"")</f>
        <v/>
      </c>
    </row>
    <row r="5">
      <c r="B5" s="2" t="n"/>
      <c r="C5" s="2" t="n"/>
      <c r="D5">
        <f>IF(AND(B5&lt;&gt;"",C5&lt;&gt;""),C5-B5,"")</f>
        <v/>
      </c>
      <c r="F5" s="3">
        <f>IF(D5&gt;0,E5/D5*30,"")</f>
        <v/>
      </c>
      <c r="I5" s="4">
        <f>IF(AND(G5&lt;&gt;"",H5&lt;&gt;""),G5*H5,"")</f>
        <v/>
      </c>
      <c r="L5" s="5">
        <f>IF(E5&gt;0,K5/E5,"")</f>
        <v/>
      </c>
    </row>
    <row r="6">
      <c r="A6" s="6" t="inlineStr">
        <is>
          <t>[EJEMPLO REAL]</t>
        </is>
      </c>
      <c r="B6" s="7" t="n">
        <v>45306</v>
      </c>
      <c r="C6" s="7" t="n">
        <v>46295</v>
      </c>
      <c r="D6" s="6" t="n"/>
      <c r="E6" s="6" t="n">
        <v>1842</v>
      </c>
      <c r="F6" s="6" t="n"/>
      <c r="G6" s="6" t="n">
        <v>3.412</v>
      </c>
      <c r="H6" s="6" t="n">
        <v>64500</v>
      </c>
      <c r="I6" s="6" t="n"/>
      <c r="J6" s="6" t="n">
        <v>27</v>
      </c>
      <c r="K6" s="6" t="n">
        <v>9</v>
      </c>
      <c r="L6" s="6" t="n"/>
      <c r="M6" s="6" t="n">
        <v>2</v>
      </c>
      <c r="N6" s="6" t="inlineStr">
        <is>
          <t>Wallet de ejemplo, no 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8" t="inlineStr">
        <is>
          <t>Como auditar una wallet</t>
        </is>
      </c>
    </row>
    <row r="3">
      <c r="A3" s="9" t="inlineStr">
        <is>
          <t>Campo / metrica</t>
        </is>
      </c>
      <c r="B3" s="9" t="inlineStr">
        <is>
          <t>Definicion</t>
        </is>
      </c>
      <c r="C3" s="9" t="inlineStr">
        <is>
          <t>Como se calcula</t>
        </is>
      </c>
    </row>
    <row r="4">
      <c r="A4" t="inlineStr">
        <is>
          <t>direccion</t>
        </is>
      </c>
      <c r="B4" t="inlineStr">
        <is>
          <t>Direccion de la wallet analizada</t>
        </is>
      </c>
      <c r="C4" t="inlineStr">
        <is>
          <t>Tal cual aparece en el explorador de bloques</t>
        </is>
      </c>
    </row>
    <row r="5">
      <c r="A5" t="inlineStr">
        <is>
          <t>primera_actividad</t>
        </is>
      </c>
      <c r="B5" t="inlineStr">
        <is>
          <t>Fecha de la primera transaccion</t>
        </is>
      </c>
      <c r="C5" t="inlineStr">
        <is>
          <t>Fecha del primer bloque que la toca</t>
        </is>
      </c>
    </row>
    <row r="6">
      <c r="A6" t="inlineStr">
        <is>
          <t>ultima_actividad</t>
        </is>
      </c>
      <c r="B6" t="inlineStr">
        <is>
          <t>Fecha de la ultima transaccion</t>
        </is>
      </c>
      <c r="C6" t="inlineStr">
        <is>
          <t>Fecha del ultimo bloque que la toca</t>
        </is>
      </c>
    </row>
    <row r="7">
      <c r="A7" t="inlineStr">
        <is>
          <t>dias_activo</t>
        </is>
      </c>
      <c r="B7" t="inlineStr">
        <is>
          <t>Antiguedad real de la wallet</t>
        </is>
      </c>
      <c r="C7" t="inlineStr">
        <is>
          <t>ultima_actividad - primera_actividad</t>
        </is>
      </c>
    </row>
    <row r="8">
      <c r="A8" t="inlineStr">
        <is>
          <t>num_transacciones</t>
        </is>
      </c>
      <c r="B8" t="inlineStr">
        <is>
          <t>Volumen total de transacciones</t>
        </is>
      </c>
      <c r="C8" t="inlineStr">
        <is>
          <t>Contar en el explorador</t>
        </is>
      </c>
    </row>
    <row r="9">
      <c r="A9" t="inlineStr">
        <is>
          <t>txns_por_mes</t>
        </is>
      </c>
      <c r="B9" t="inlineStr">
        <is>
          <t>Cadencia de operacion</t>
        </is>
      </c>
      <c r="C9" t="inlineStr">
        <is>
          <t>num_transacciones / dias_activo * 30</t>
        </is>
      </c>
    </row>
    <row r="10">
      <c r="A10" t="inlineStr">
        <is>
          <t>saldo_nativo</t>
        </is>
      </c>
      <c r="B10" t="inlineStr">
        <is>
          <t>Cripto que mantiene sin operar</t>
        </is>
      </c>
      <c r="C10" t="inlineStr">
        <is>
          <t>Balance de la moneda nativa en el explorador</t>
        </is>
      </c>
    </row>
    <row r="11">
      <c r="A11" t="inlineStr">
        <is>
          <t>precio_usd</t>
        </is>
      </c>
      <c r="B11" t="inlineStr">
        <is>
          <t>Precio del activo nativo hoy</t>
        </is>
      </c>
      <c r="C11" t="inlineStr">
        <is>
          <t>Cierre del dia en el exchange que uses</t>
        </is>
      </c>
    </row>
    <row r="12">
      <c r="A12" t="inlineStr">
        <is>
          <t>valor_usd_estimado</t>
        </is>
      </c>
      <c r="B12" t="inlineStr">
        <is>
          <t>Valor aproximado actual</t>
        </is>
      </c>
      <c r="C12" t="inlineStr">
        <is>
          <t>saldo_nativo * precio_usd</t>
        </is>
      </c>
    </row>
    <row r="13">
      <c r="A13" t="inlineStr">
        <is>
          <t>contratos_interactuados</t>
        </is>
      </c>
      <c r="B13" t="inlineStr">
        <is>
          <t>Cuantos protocolos ha tocado</t>
        </is>
      </c>
      <c r="C13" t="inlineStr">
        <is>
          <t>Contar direcciones distintas en los logs</t>
        </is>
      </c>
    </row>
    <row r="14">
      <c r="A14" t="inlineStr">
        <is>
          <t>envios_a_cex</t>
        </is>
      </c>
      <c r="B14" t="inlineStr">
        <is>
          <t>Veces que ha enviado a un exchange</t>
        </is>
      </c>
      <c r="C14" t="inlineStr">
        <is>
          <t>Cruzar contra direcciones de CEX conocidas</t>
        </is>
      </c>
    </row>
    <row r="15">
      <c r="A15" t="inlineStr">
        <is>
          <t>riesgo_cex</t>
        </is>
      </c>
      <c r="B15" t="inlineStr">
        <is>
          <t>Proporcion de envios a exchanges</t>
        </is>
      </c>
      <c r="C15" t="inlineStr">
        <is>
          <t>envios_a_cex / num_transacciones</t>
        </is>
      </c>
    </row>
    <row r="16">
      <c r="A16" t="inlineStr">
        <is>
          <t>token_rug_pull</t>
        </is>
      </c>
      <c r="B16" t="inlineStr">
        <is>
          <t>Tokens que se desplomaron</t>
        </is>
      </c>
      <c r="C16" t="inlineStr">
        <is>
          <t>Revisar liquidez retirada despues de vender</t>
        </is>
      </c>
    </row>
    <row r="17">
      <c r="A17" t="inlineStr">
        <is>
          <t>notas</t>
        </is>
      </c>
      <c r="B17" t="inlineStr">
        <is>
          <t>Tu criterio, en texto libre</t>
        </is>
      </c>
      <c r="C17" t="inlineStr">
        <is>
          <t>Lo que un CSV no puede saber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2026-10-31T11:36:59Z</dcterms:created>
  <dcterms:modified xmlns:dcterms="http://purl.org/dc/terms/" xmlns:xsi="http://www.w3.org/2001/XMLSchema-instance" xsi:type="dcterms:W3CDTF">2026-10-31T11:36:59Z</dcterms:modified>
</cp:coreProperties>
</file>