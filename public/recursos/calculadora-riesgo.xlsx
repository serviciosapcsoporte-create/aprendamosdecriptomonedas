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2" customWidth="1" min="5" max="5"/>
    <col width="18" customWidth="1" min="6" max="6"/>
    <col width="12" customWidth="1" min="7" max="7"/>
    <col width="20" customWidth="1" min="8" max="8"/>
    <col width="18" customWidth="1" min="9" max="9"/>
    <col width="16" customWidth="1" min="10" max="10"/>
  </cols>
  <sheetData>
    <row r="1" ht="30" customHeight="1">
      <c r="A1" s="1" t="inlineStr">
        <is>
          <t>marcador</t>
        </is>
      </c>
      <c r="B1" s="1" t="inlineStr">
        <is>
          <t>capital_total</t>
        </is>
      </c>
      <c r="C1" s="1" t="inlineStr">
        <is>
          <t>tolerancia_riesgo_pct</t>
        </is>
      </c>
      <c r="D1" s="1" t="inlineStr">
        <is>
          <t>precio_entrada</t>
        </is>
      </c>
      <c r="E1" s="1" t="inlineStr">
        <is>
          <t>stop_loss</t>
        </is>
      </c>
      <c r="F1" s="1" t="inlineStr">
        <is>
          <t>distancia_stop_pct</t>
        </is>
      </c>
      <c r="G1" s="1" t="inlineStr">
        <is>
          <t>riesgo_usd</t>
        </is>
      </c>
      <c r="H1" s="1" t="inlineStr">
        <is>
          <t>tamano_posicion_usd</t>
        </is>
      </c>
      <c r="I1" s="1" t="inlineStr">
        <is>
          <t>apalancamiento_max</t>
        </is>
      </c>
      <c r="J1" s="1" t="inlineStr">
        <is>
          <t>margen_requerido</t>
        </is>
      </c>
    </row>
    <row r="2">
      <c r="F2" s="2">
        <f>IF(AND(D2&gt;0,E2&lt;&gt;""),(D2-E2)/D2,"")</f>
        <v/>
      </c>
      <c r="G2" s="3">
        <f>IF(AND(B2&lt;&gt;"",C2&lt;&gt;""),B2*C2/100,"")</f>
        <v/>
      </c>
      <c r="H2" s="3">
        <f>IF(AND(G2&lt;&gt;"",F2&gt;0),G2/F2,"")</f>
        <v/>
      </c>
      <c r="J2" s="3">
        <f>IF(AND(H2&lt;&gt;"",I2&gt;0),H2/I2,"")</f>
        <v/>
      </c>
    </row>
    <row r="3">
      <c r="F3" s="2">
        <f>IF(AND(D3&gt;0,E3&lt;&gt;""),(D3-E3)/D3,"")</f>
        <v/>
      </c>
      <c r="G3" s="3">
        <f>IF(AND(B3&lt;&gt;"",C3&lt;&gt;""),B3*C3/100,"")</f>
        <v/>
      </c>
      <c r="H3" s="3">
        <f>IF(AND(G3&lt;&gt;"",F3&gt;0),G3/F3,"")</f>
        <v/>
      </c>
      <c r="J3" s="3">
        <f>IF(AND(H3&lt;&gt;"",I3&gt;0),H3/I3,"")</f>
        <v/>
      </c>
    </row>
    <row r="4">
      <c r="F4" s="2">
        <f>IF(AND(D4&gt;0,E4&lt;&gt;""),(D4-E4)/D4,"")</f>
        <v/>
      </c>
      <c r="G4" s="3">
        <f>IF(AND(B4&lt;&gt;"",C4&lt;&gt;""),B4*C4/100,"")</f>
        <v/>
      </c>
      <c r="H4" s="3">
        <f>IF(AND(G4&lt;&gt;"",F4&gt;0),G4/F4,"")</f>
        <v/>
      </c>
      <c r="J4" s="3">
        <f>IF(AND(H4&lt;&gt;"",I4&gt;0),H4/I4,"")</f>
        <v/>
      </c>
    </row>
    <row r="5">
      <c r="F5" s="2">
        <f>IF(AND(D5&gt;0,E5&lt;&gt;""),(D5-E5)/D5,"")</f>
        <v/>
      </c>
      <c r="G5" s="3">
        <f>IF(AND(B5&lt;&gt;"",C5&lt;&gt;""),B5*C5/100,"")</f>
        <v/>
      </c>
      <c r="H5" s="3">
        <f>IF(AND(G5&lt;&gt;"",F5&gt;0),G5/F5,"")</f>
        <v/>
      </c>
      <c r="J5" s="3">
        <f>IF(AND(H5&lt;&gt;"",I5&gt;0),H5/I5,"")</f>
        <v/>
      </c>
    </row>
    <row r="6">
      <c r="F6" s="2">
        <f>IF(AND(D6&gt;0,E6&lt;&gt;""),(D6-E6)/D6,"")</f>
        <v/>
      </c>
      <c r="G6" s="3">
        <f>IF(AND(B6&lt;&gt;"",C6&lt;&gt;""),B6*C6/100,"")</f>
        <v/>
      </c>
      <c r="H6" s="3">
        <f>IF(AND(G6&lt;&gt;"",F6&gt;0),G6/F6,"")</f>
        <v/>
      </c>
      <c r="J6" s="3">
        <f>IF(AND(H6&lt;&gt;"",I6&gt;0),H6/I6,"")</f>
        <v/>
      </c>
    </row>
    <row r="7">
      <c r="F7" s="2">
        <f>IF(AND(D7&gt;0,E7&lt;&gt;""),(D7-E7)/D7,"")</f>
        <v/>
      </c>
      <c r="G7" s="3">
        <f>IF(AND(B7&lt;&gt;"",C7&lt;&gt;""),B7*C7/100,"")</f>
        <v/>
      </c>
      <c r="H7" s="3">
        <f>IF(AND(G7&lt;&gt;"",F7&gt;0),G7/F7,"")</f>
        <v/>
      </c>
      <c r="J7" s="3">
        <f>IF(AND(H7&lt;&gt;"",I7&gt;0),H7/I7,"")</f>
        <v/>
      </c>
    </row>
    <row r="8">
      <c r="F8" s="2">
        <f>IF(AND(D8&gt;0,E8&lt;&gt;""),(D8-E8)/D8,"")</f>
        <v/>
      </c>
      <c r="G8" s="3">
        <f>IF(AND(B8&lt;&gt;"",C8&lt;&gt;""),B8*C8/100,"")</f>
        <v/>
      </c>
      <c r="H8" s="3">
        <f>IF(AND(G8&lt;&gt;"",F8&gt;0),G8/F8,"")</f>
        <v/>
      </c>
      <c r="J8" s="3">
        <f>IF(AND(H8&lt;&gt;"",I8&gt;0),H8/I8,"")</f>
        <v/>
      </c>
    </row>
    <row r="9">
      <c r="F9" s="2">
        <f>IF(AND(D9&gt;0,E9&lt;&gt;""),(D9-E9)/D9,"")</f>
        <v/>
      </c>
      <c r="G9" s="3">
        <f>IF(AND(B9&lt;&gt;"",C9&lt;&gt;""),B9*C9/100,"")</f>
        <v/>
      </c>
      <c r="H9" s="3">
        <f>IF(AND(G9&lt;&gt;"",F9&gt;0),G9/F9,"")</f>
        <v/>
      </c>
      <c r="J9" s="3">
        <f>IF(AND(H9&lt;&gt;"",I9&gt;0),H9/I9,"")</f>
        <v/>
      </c>
    </row>
    <row r="10">
      <c r="F10" s="2">
        <f>IF(AND(D10&gt;0,E10&lt;&gt;""),(D10-E10)/D10,"")</f>
        <v/>
      </c>
      <c r="G10" s="3">
        <f>IF(AND(B10&lt;&gt;"",C10&lt;&gt;""),B10*C10/100,"")</f>
        <v/>
      </c>
      <c r="H10" s="3">
        <f>IF(AND(G10&lt;&gt;"",F10&gt;0),G10/F10,"")</f>
        <v/>
      </c>
      <c r="J10" s="3">
        <f>IF(AND(H10&lt;&gt;"",I10&gt;0),H10/I10,"")</f>
        <v/>
      </c>
    </row>
    <row r="11">
      <c r="F11" s="2">
        <f>IF(AND(D11&gt;0,E11&lt;&gt;""),(D11-E11)/D11,"")</f>
        <v/>
      </c>
      <c r="G11" s="3">
        <f>IF(AND(B11&lt;&gt;"",C11&lt;&gt;""),B11*C11/100,"")</f>
        <v/>
      </c>
      <c r="H11" s="3">
        <f>IF(AND(G11&lt;&gt;"",F11&gt;0),G11/F11,"")</f>
        <v/>
      </c>
      <c r="J11" s="3">
        <f>IF(AND(H11&lt;&gt;"",I11&gt;0),H11/I11,"")</f>
        <v/>
      </c>
    </row>
    <row r="12">
      <c r="A12" s="4" t="inlineStr">
        <is>
          <t>[EJEMPLO REAL]</t>
        </is>
      </c>
      <c r="B12" s="4" t="n">
        <v>10000</v>
      </c>
      <c r="C12" s="4" t="n">
        <v>1</v>
      </c>
      <c r="D12" s="4" t="n">
        <v>3000</v>
      </c>
      <c r="E12" s="4" t="n">
        <v>2900</v>
      </c>
      <c r="F12" s="4" t="n"/>
      <c r="G12" s="4" t="n"/>
      <c r="H12" s="4" t="n"/>
      <c r="I12" s="4" t="n">
        <v>10</v>
      </c>
      <c r="J1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5" t="inlineStr">
        <is>
          <t>Calculadora de posicion y risk sizing</t>
        </is>
      </c>
    </row>
    <row r="3">
      <c r="A3" s="6" t="inlineStr">
        <is>
          <t>Campo</t>
        </is>
      </c>
      <c r="B3" s="6" t="inlineStr">
        <is>
          <t>Definicion</t>
        </is>
      </c>
    </row>
    <row r="4">
      <c r="A4" t="inlineStr">
        <is>
          <t>capital_total</t>
        </is>
      </c>
      <c r="B4" t="inlineStr">
        <is>
          <t>Capital total de la cuenta en USD</t>
        </is>
      </c>
    </row>
    <row r="5">
      <c r="A5" t="inlineStr">
        <is>
          <t>tolerancia_riesgo_pct</t>
        </is>
      </c>
      <c r="B5" t="inlineStr">
        <is>
          <t>Porcentaje del capital que aceptas perder en una operacion (1-2%)</t>
        </is>
      </c>
    </row>
    <row r="6">
      <c r="A6" t="inlineStr">
        <is>
          <t>precio_entrada</t>
        </is>
      </c>
      <c r="B6" t="inlineStr">
        <is>
          <t>Precio de entrada</t>
        </is>
      </c>
    </row>
    <row r="7">
      <c r="A7" t="inlineStr">
        <is>
          <t>stop_loss</t>
        </is>
      </c>
      <c r="B7" t="inlineStr">
        <is>
          <t>Precio del stop-loss</t>
        </is>
      </c>
    </row>
    <row r="8">
      <c r="A8" t="inlineStr">
        <is>
          <t>distancia_stop_pct</t>
        </is>
      </c>
      <c r="B8" t="inlineStr">
        <is>
          <t>Se calcula: (precio_entrada - stop_loss) / precio_entrada</t>
        </is>
      </c>
    </row>
    <row r="9">
      <c r="A9" t="inlineStr">
        <is>
          <t>riesgo_usd</t>
        </is>
      </c>
      <c r="B9" t="inlineStr">
        <is>
          <t>Se calcula: capital_total * tolerancia_riesgo_pct / 100</t>
        </is>
      </c>
    </row>
    <row r="10">
      <c r="A10" t="inlineStr">
        <is>
          <t>tamano_posicion_usd</t>
        </is>
      </c>
      <c r="B10" t="inlineStr">
        <is>
          <t>Se calcula: riesgo_usd / distancia_stop_pct</t>
        </is>
      </c>
    </row>
    <row r="11">
      <c r="A11" t="inlineStr">
        <is>
          <t>apalancamiento_max</t>
        </is>
      </c>
      <c r="B11" t="inlineStr">
        <is>
          <t>Apalancamiento maximo permitido (nunca para compensar perdidas)</t>
        </is>
      </c>
    </row>
    <row r="12">
      <c r="A12" t="inlineStr">
        <is>
          <t>margen_requerido</t>
        </is>
      </c>
      <c r="B12" t="inlineStr">
        <is>
          <t>Se calcula: tamano_posicion_usd / apalancamiento_max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2026-10-31T12:02:29Z</dcterms:created>
  <dcterms:modified xmlns:dcterms="http://purl.org/dc/terms/" xmlns:xsi="http://www.w3.org/2001/XMLSchema-instance" xsi:type="dcterms:W3CDTF">2026-10-31T12:02:29Z</dcterms:modified>
</cp:coreProperties>
</file>